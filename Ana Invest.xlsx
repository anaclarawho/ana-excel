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af27cab5ee2e81/Documentos/"/>
    </mc:Choice>
  </mc:AlternateContent>
  <xr:revisionPtr revIDLastSave="1" documentId="8_{EBE5AFFB-F59F-460D-8E5B-C78B13660B7F}" xr6:coauthVersionLast="47" xr6:coauthVersionMax="47" xr10:uidLastSave="{43E7011D-2EF2-4F02-A86B-6C52A711ACF0}"/>
  <bookViews>
    <workbookView xWindow="-120" yWindow="-120" windowWidth="29040" windowHeight="15720" tabRatio="538" xr2:uid="{5363E26C-392D-4298-A0AE-2DFAE9E5499E}"/>
  </bookViews>
  <sheets>
    <sheet name="Planilha1" sheetId="1" r:id="rId1"/>
    <sheet name="Planilha2" sheetId="2" r:id="rId2"/>
  </sheets>
  <definedNames>
    <definedName name="aporte">Planilha1!$D$16</definedName>
    <definedName name="patromonio">Planilha1!$D$19</definedName>
    <definedName name="qnt_anos">Planilha1!$D$17</definedName>
    <definedName name="rendimento_carteira">Planilha1!$D$12</definedName>
    <definedName name="salario">Planilha1!$D$11</definedName>
    <definedName name="suj_invest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D35" i="1" s="1"/>
  <c r="H6" i="2"/>
  <c r="A10" i="2"/>
  <c r="A4" i="2"/>
  <c r="A5" i="2"/>
  <c r="A6" i="2"/>
  <c r="A7" i="2"/>
  <c r="A8" i="2"/>
  <c r="A9" i="2"/>
  <c r="A11" i="2"/>
  <c r="A12" i="2"/>
  <c r="A13" i="2"/>
  <c r="A14" i="2"/>
  <c r="A15" i="2"/>
  <c r="A16" i="2"/>
  <c r="A17" i="2"/>
  <c r="A18" i="2"/>
  <c r="A19" i="2"/>
  <c r="A20" i="2"/>
  <c r="A3" i="2"/>
  <c r="C32" i="1"/>
  <c r="D13" i="1"/>
  <c r="D19" i="1"/>
  <c r="D20" i="1" s="1"/>
  <c r="C23" i="1"/>
  <c r="D23" i="1" s="1"/>
  <c r="C24" i="1"/>
  <c r="C25" i="1"/>
  <c r="D25" i="1" s="1"/>
  <c r="C26" i="1"/>
  <c r="D26" i="1" s="1"/>
  <c r="C27" i="1"/>
  <c r="D27" i="1" s="1"/>
  <c r="D24" i="1"/>
  <c r="D39" i="1" l="1"/>
  <c r="D38" i="1"/>
  <c r="D37" i="1"/>
  <c r="D40" i="1"/>
  <c r="D36" i="1"/>
  <c r="D41" i="1" l="1"/>
</calcChain>
</file>

<file path=xl/sharedStrings.xml><?xml version="1.0" encoding="utf-8"?>
<sst xmlns="http://schemas.openxmlformats.org/spreadsheetml/2006/main" count="72" uniqueCount="35">
  <si>
    <t>Quanto investir por mês?</t>
  </si>
  <si>
    <t>Por quantos anos?</t>
  </si>
  <si>
    <t>Patrimônio Acumulado?</t>
  </si>
  <si>
    <t>Diviendos Mensais?</t>
  </si>
  <si>
    <t>INVESTIMENTO MENSAL</t>
  </si>
  <si>
    <t>Taxa de Rendimento Mensal?</t>
  </si>
  <si>
    <t xml:space="preserve">Quanto em 2 anos? </t>
  </si>
  <si>
    <t>Quanto em 5 anos?</t>
  </si>
  <si>
    <t>Quanto em 10 anos?</t>
  </si>
  <si>
    <t>Quanto em 20 anos?</t>
  </si>
  <si>
    <t>CENÁRIOS</t>
  </si>
  <si>
    <t xml:space="preserve">Quanto em 30 anos? </t>
  </si>
  <si>
    <t>DIVIDENDO</t>
  </si>
  <si>
    <t>CONFIGURAÇÕES</t>
  </si>
  <si>
    <t>Rendimento da Carteira</t>
  </si>
  <si>
    <t>Salário</t>
  </si>
  <si>
    <t>Sujestão de investimentos</t>
  </si>
  <si>
    <t>Moderado</t>
  </si>
  <si>
    <t>Agressivo</t>
  </si>
  <si>
    <t>Conservador</t>
  </si>
  <si>
    <t>INVESTIMENTO MENSAL PRETENDIDO</t>
  </si>
  <si>
    <t>PERFIL</t>
  </si>
  <si>
    <t>TIPO DE FII</t>
  </si>
  <si>
    <t>PERCENTUAL SUJERIDO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</si>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</sst>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5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Border="1"/>
    <xf numFmtId="8" fontId="0" fillId="5" borderId="1" xfId="0" applyNumberFormat="1" applyFill="1" applyBorder="1" applyAlignment="1">
      <alignment horizontal="center"/>
    </xf>
    <xf numFmtId="8" fontId="0" fillId="5" borderId="6" xfId="0" applyNumberFormat="1" applyFill="1" applyBorder="1" applyAlignment="1">
      <alignment horizontal="center"/>
    </xf>
    <xf numFmtId="8" fontId="0" fillId="5" borderId="8" xfId="0" applyNumberFormat="1" applyFill="1" applyBorder="1" applyAlignment="1">
      <alignment horizontal="center"/>
    </xf>
    <xf numFmtId="8" fontId="0" fillId="5" borderId="9" xfId="0" applyNumberFormat="1" applyFill="1" applyBorder="1" applyAlignment="1">
      <alignment horizontal="center"/>
    </xf>
    <xf numFmtId="0" fontId="8" fillId="5" borderId="5" xfId="0" applyFont="1" applyFill="1" applyBorder="1"/>
    <xf numFmtId="0" fontId="8" fillId="5" borderId="7" xfId="0" applyFont="1" applyFill="1" applyBorder="1"/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168" fontId="0" fillId="0" borderId="6" xfId="1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8" fontId="0" fillId="0" borderId="9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8" fontId="1" fillId="0" borderId="6" xfId="1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7" borderId="7" xfId="0" applyFont="1" applyFill="1" applyBorder="1" applyAlignment="1">
      <alignment horizontal="left"/>
    </xf>
    <xf numFmtId="0" fontId="8" fillId="7" borderId="8" xfId="0" applyFont="1" applyFill="1" applyBorder="1" applyAlignment="1">
      <alignment horizontal="left"/>
    </xf>
    <xf numFmtId="0" fontId="9" fillId="8" borderId="5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8" fontId="1" fillId="8" borderId="6" xfId="0" applyNumberFormat="1" applyFont="1" applyFill="1" applyBorder="1" applyAlignment="1">
      <alignment horizontal="center"/>
    </xf>
    <xf numFmtId="0" fontId="9" fillId="8" borderId="7" xfId="0" applyFont="1" applyFill="1" applyBorder="1" applyAlignment="1">
      <alignment horizontal="left"/>
    </xf>
    <xf numFmtId="0" fontId="9" fillId="8" borderId="8" xfId="0" applyFont="1" applyFill="1" applyBorder="1" applyAlignment="1">
      <alignment horizontal="left"/>
    </xf>
    <xf numFmtId="8" fontId="1" fillId="8" borderId="9" xfId="0" applyNumberFormat="1" applyFont="1" applyFill="1" applyBorder="1" applyAlignment="1">
      <alignment horizontal="center"/>
    </xf>
    <xf numFmtId="0" fontId="4" fillId="4" borderId="0" xfId="3"/>
    <xf numFmtId="0" fontId="10" fillId="4" borderId="0" xfId="3" applyFont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8" fontId="1" fillId="3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168" fontId="1" fillId="9" borderId="0" xfId="0" applyNumberFormat="1" applyFont="1" applyFill="1"/>
    <xf numFmtId="9" fontId="0" fillId="0" borderId="0" xfId="2" applyFont="1"/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/>
    </xf>
    <xf numFmtId="168" fontId="0" fillId="3" borderId="0" xfId="0" applyNumberFormat="1" applyFill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9" fontId="0" fillId="0" borderId="0" xfId="2" applyNumberFormat="1" applyFont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8-4A5E-B3BE-9798BB794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76199</xdr:colOff>
      <xdr:row>0</xdr:row>
      <xdr:rowOff>0</xdr:rowOff>
    </xdr:from>
    <xdr:to>
      <xdr:col>5</xdr:col>
      <xdr:colOff>166362</xdr:colOff>
      <xdr:row>8</xdr:row>
      <xdr:rowOff>266700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6E278DE-11CD-4A35-BC14-438BAC38F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0"/>
          <a:ext cx="6543675" cy="1790700"/>
        </a:xfrm>
        <a:prstGeom prst="rect">
          <a:avLst/>
        </a:prstGeom>
      </xdr:spPr>
    </xdr:pic>
    <xdr:clientData/>
  </xdr:twoCellAnchor>
  <xdr:twoCellAnchor>
    <xdr:from>
      <xdr:col>1</xdr:col>
      <xdr:colOff>471487</xdr:colOff>
      <xdr:row>42</xdr:row>
      <xdr:rowOff>157162</xdr:rowOff>
    </xdr:from>
    <xdr:to>
      <xdr:col>3</xdr:col>
      <xdr:colOff>366712</xdr:colOff>
      <xdr:row>57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A095C2-86FE-4F14-BA66-6B0211D71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ED9B-A1C2-4839-8621-E5ADEE3D522F}">
  <dimension ref="A9:XFD67"/>
  <sheetViews>
    <sheetView showGridLines="0" tabSelected="1" zoomScale="54" zoomScaleNormal="54" workbookViewId="0">
      <selection activeCell="D16" sqref="D16"/>
    </sheetView>
  </sheetViews>
  <sheetFormatPr defaultColWidth="0" defaultRowHeight="15" x14ac:dyDescent="0.25"/>
  <cols>
    <col min="1" max="1" width="2.140625" customWidth="1"/>
    <col min="2" max="2" width="35" bestFit="1" customWidth="1"/>
    <col min="3" max="3" width="35.140625" customWidth="1"/>
    <col min="4" max="4" width="18" bestFit="1" customWidth="1"/>
    <col min="5" max="5" width="6.5703125" customWidth="1"/>
    <col min="6" max="6" width="2.7109375" customWidth="1"/>
    <col min="7" max="7" width="1.140625" hidden="1" customWidth="1"/>
    <col min="8" max="16383" width="9.140625" hidden="1"/>
    <col min="16384" max="16384" width="3.5703125" hidden="1" customWidth="1"/>
  </cols>
  <sheetData>
    <row r="9" spans="2:4" ht="34.5" customHeight="1" thickBot="1" x14ac:dyDescent="0.3"/>
    <row r="10" spans="2:4" x14ac:dyDescent="0.25">
      <c r="B10" s="11" t="s">
        <v>13</v>
      </c>
      <c r="C10" s="12"/>
      <c r="D10" s="13"/>
    </row>
    <row r="11" spans="2:4" ht="15.75" x14ac:dyDescent="0.25">
      <c r="B11" s="26" t="s">
        <v>15</v>
      </c>
      <c r="C11" s="27"/>
      <c r="D11" s="14">
        <v>5000</v>
      </c>
    </row>
    <row r="12" spans="2:4" ht="15.75" x14ac:dyDescent="0.25">
      <c r="B12" s="26" t="s">
        <v>14</v>
      </c>
      <c r="C12" s="27"/>
      <c r="D12" s="15">
        <v>6.0000000000000001E-3</v>
      </c>
    </row>
    <row r="13" spans="2:4" ht="16.5" thickBot="1" x14ac:dyDescent="0.3">
      <c r="B13" s="28" t="s">
        <v>16</v>
      </c>
      <c r="C13" s="29"/>
      <c r="D13" s="16">
        <f>D11*30%</f>
        <v>1500</v>
      </c>
    </row>
    <row r="14" spans="2:4" ht="15.75" thickBot="1" x14ac:dyDescent="0.3"/>
    <row r="15" spans="2:4" ht="33.75" customHeight="1" x14ac:dyDescent="0.25">
      <c r="B15" s="17" t="s">
        <v>4</v>
      </c>
      <c r="C15" s="18"/>
      <c r="D15" s="19"/>
    </row>
    <row r="16" spans="2:4" ht="19.5" customHeight="1" x14ac:dyDescent="0.25">
      <c r="B16" s="26" t="s">
        <v>0</v>
      </c>
      <c r="C16" s="27"/>
      <c r="D16" s="20">
        <v>500</v>
      </c>
    </row>
    <row r="17" spans="1:6" ht="19.5" customHeight="1" x14ac:dyDescent="0.25">
      <c r="B17" s="26" t="s">
        <v>1</v>
      </c>
      <c r="C17" s="27"/>
      <c r="D17" s="21">
        <v>5</v>
      </c>
    </row>
    <row r="18" spans="1:6" ht="19.5" customHeight="1" x14ac:dyDescent="0.25">
      <c r="B18" s="26" t="s">
        <v>5</v>
      </c>
      <c r="C18" s="27"/>
      <c r="D18" s="22">
        <v>1.0789999999999999E-2</v>
      </c>
    </row>
    <row r="19" spans="1:6" ht="15.75" x14ac:dyDescent="0.25">
      <c r="B19" s="30" t="s">
        <v>2</v>
      </c>
      <c r="C19" s="31"/>
      <c r="D19" s="32">
        <f>FV(taxa_mensal,qnt_anos*12,aporte*-1)</f>
        <v>41888.456999243819</v>
      </c>
      <c r="E19" s="4"/>
      <c r="F19" s="4"/>
    </row>
    <row r="20" spans="1:6" ht="16.5" thickBot="1" x14ac:dyDescent="0.3">
      <c r="B20" s="33" t="s">
        <v>3</v>
      </c>
      <c r="C20" s="34"/>
      <c r="D20" s="35">
        <f>D19*$D$12</f>
        <v>251.33074199546292</v>
      </c>
    </row>
    <row r="21" spans="1:6" ht="15.75" thickBot="1" x14ac:dyDescent="0.3"/>
    <row r="22" spans="1:6" ht="26.25" x14ac:dyDescent="0.25">
      <c r="B22" s="23" t="s">
        <v>10</v>
      </c>
      <c r="C22" s="24"/>
      <c r="D22" s="25" t="s">
        <v>12</v>
      </c>
    </row>
    <row r="23" spans="1:6" ht="15.75" x14ac:dyDescent="0.25">
      <c r="A23" s="1">
        <v>2</v>
      </c>
      <c r="B23" s="9" t="s">
        <v>6</v>
      </c>
      <c r="C23" s="5">
        <f>FV($D$18,$A23*12,$D$16*-1)</f>
        <v>13613.813648822608</v>
      </c>
      <c r="D23" s="6">
        <f>C23*rendimento_carteira</f>
        <v>81.682881892935654</v>
      </c>
    </row>
    <row r="24" spans="1:6" ht="15.75" x14ac:dyDescent="0.25">
      <c r="A24" s="1">
        <v>5</v>
      </c>
      <c r="B24" s="9" t="s">
        <v>7</v>
      </c>
      <c r="C24" s="5">
        <f>FV($D$18,$A24*12,$D$16*-1)</f>
        <v>41888.456999243819</v>
      </c>
      <c r="D24" s="6">
        <f>C24*rendimento_carteira</f>
        <v>251.33074199546292</v>
      </c>
    </row>
    <row r="25" spans="1:6" ht="15.75" x14ac:dyDescent="0.25">
      <c r="A25" s="1">
        <v>10</v>
      </c>
      <c r="B25" s="9" t="s">
        <v>8</v>
      </c>
      <c r="C25" s="5">
        <f>FV($D$18,$A25*12,$D$16*-1)</f>
        <v>121642.1062650861</v>
      </c>
      <c r="D25" s="6">
        <f>C25*rendimento_carteira</f>
        <v>729.85263759051657</v>
      </c>
    </row>
    <row r="26" spans="1:6" ht="15.75" x14ac:dyDescent="0.25">
      <c r="A26" s="1">
        <v>20</v>
      </c>
      <c r="B26" s="9" t="s">
        <v>9</v>
      </c>
      <c r="C26" s="5">
        <f>FV($D$18,$A26*12,$D$16*-1)</f>
        <v>562599.20004854025</v>
      </c>
      <c r="D26" s="6">
        <f>C26*rendimento_carteira</f>
        <v>3375.5952002912418</v>
      </c>
    </row>
    <row r="27" spans="1:6" ht="16.5" thickBot="1" x14ac:dyDescent="0.3">
      <c r="A27" s="1">
        <v>30</v>
      </c>
      <c r="B27" s="10" t="s">
        <v>11</v>
      </c>
      <c r="C27" s="7">
        <f>FV($D$18,$A27*12,$D$16*-1)</f>
        <v>2161084.8275023573</v>
      </c>
      <c r="D27" s="8">
        <f>C27*rendimento_carteira</f>
        <v>12966.508965014144</v>
      </c>
    </row>
    <row r="31" spans="1:6" x14ac:dyDescent="0.25">
      <c r="B31" s="37" t="s">
        <v>21</v>
      </c>
      <c r="C31" s="36" t="s">
        <v>18</v>
      </c>
      <c r="D31" s="36"/>
    </row>
    <row r="32" spans="1:6" x14ac:dyDescent="0.25">
      <c r="B32" s="39" t="s">
        <v>20</v>
      </c>
      <c r="C32" s="40">
        <f>aporte</f>
        <v>500</v>
      </c>
      <c r="D32" s="41"/>
    </row>
    <row r="33" spans="2:4" x14ac:dyDescent="0.25">
      <c r="B33" s="38"/>
      <c r="C33" s="38"/>
      <c r="D33" s="38"/>
    </row>
    <row r="34" spans="2:4" x14ac:dyDescent="0.25">
      <c r="B34" s="42" t="s">
        <v>22</v>
      </c>
      <c r="C34" s="42" t="s">
        <v>23</v>
      </c>
      <c r="D34" s="42" t="s">
        <v>24</v>
      </c>
    </row>
    <row r="35" spans="2:4" x14ac:dyDescent="0.25">
      <c r="B35" s="2" t="s">
        <v>25</v>
      </c>
      <c r="C35" s="3">
        <f>VLOOKUP($C$31&amp;"-"&amp;B35,Planilha2!$A:$D,4,FALSE)</f>
        <v>0.5</v>
      </c>
      <c r="D35" s="49">
        <f xml:space="preserve"> C35*$C$32</f>
        <v>250</v>
      </c>
    </row>
    <row r="36" spans="2:4" x14ac:dyDescent="0.25">
      <c r="B36" s="2" t="s">
        <v>26</v>
      </c>
      <c r="C36" s="3">
        <f>VLOOKUP($C$31&amp;"-"&amp;B36,Planilha2!$A:$D,4,FALSE)</f>
        <v>0.1</v>
      </c>
      <c r="D36" s="49">
        <f t="shared" ref="D36:D40" si="0" xml:space="preserve"> C36*$C$32</f>
        <v>50</v>
      </c>
    </row>
    <row r="37" spans="2:4" x14ac:dyDescent="0.25">
      <c r="B37" s="2" t="s">
        <v>27</v>
      </c>
      <c r="C37" s="3">
        <f>VLOOKUP($C$31&amp;"-"&amp;B37,Planilha2!$A:$D,4,FALSE)</f>
        <v>0.05</v>
      </c>
      <c r="D37" s="49">
        <f t="shared" si="0"/>
        <v>25</v>
      </c>
    </row>
    <row r="38" spans="2:4" x14ac:dyDescent="0.25">
      <c r="B38" s="2" t="s">
        <v>28</v>
      </c>
      <c r="C38" s="3">
        <f>VLOOKUP($C$31&amp;"-"&amp;B38,Planilha2!$A:$D,4,FALSE)</f>
        <v>0.05</v>
      </c>
      <c r="D38" s="49">
        <f t="shared" si="0"/>
        <v>25</v>
      </c>
    </row>
    <row r="39" spans="2:4" x14ac:dyDescent="0.25">
      <c r="B39" s="2" t="s">
        <v>29</v>
      </c>
      <c r="C39" s="3">
        <f>VLOOKUP($C$31&amp;"-"&amp;B39,Planilha2!$A:$D,4,FALSE)</f>
        <v>0.2</v>
      </c>
      <c r="D39" s="49">
        <f t="shared" si="0"/>
        <v>100</v>
      </c>
    </row>
    <row r="40" spans="2:4" x14ac:dyDescent="0.25">
      <c r="B40" s="2" t="s">
        <v>30</v>
      </c>
      <c r="C40" s="3">
        <f>VLOOKUP($C$31&amp;"-"&amp;B40,Planilha2!$A:$D,4,FALSE)</f>
        <v>0.1</v>
      </c>
      <c r="D40" s="49">
        <f t="shared" si="0"/>
        <v>50</v>
      </c>
    </row>
    <row r="41" spans="2:4" x14ac:dyDescent="0.25">
      <c r="B41" s="43" t="s">
        <v>31</v>
      </c>
      <c r="C41" s="44"/>
      <c r="D41" s="45">
        <f>SUM(D35:D40)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0">
    <mergeCell ref="B17:C17"/>
    <mergeCell ref="B18:C18"/>
    <mergeCell ref="B19:C19"/>
    <mergeCell ref="B20:C20"/>
    <mergeCell ref="B10:C10"/>
    <mergeCell ref="B11:C11"/>
    <mergeCell ref="B12:C12"/>
    <mergeCell ref="B13:C13"/>
    <mergeCell ref="B15:D15"/>
    <mergeCell ref="B16:C16"/>
  </mergeCells>
  <dataValidations count="1">
    <dataValidation type="list" allowBlank="1" showInputMessage="1" showErrorMessage="1" sqref="C31" xr:uid="{1BE2B280-EE73-4CCF-BD44-288C4179786C}">
      <formula1>"Conservador, 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EBBF-9871-4FE9-BD9B-441098454B1D}">
  <dimension ref="A2:H20"/>
  <sheetViews>
    <sheetView workbookViewId="0">
      <selection activeCell="D11" sqref="D11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9.140625" style="47"/>
    <col min="7" max="7" width="17" bestFit="1" customWidth="1"/>
  </cols>
  <sheetData>
    <row r="2" spans="1:8" x14ac:dyDescent="0.25">
      <c r="A2" t="s">
        <v>33</v>
      </c>
      <c r="B2" s="38" t="s">
        <v>21</v>
      </c>
      <c r="C2" s="38" t="s">
        <v>22</v>
      </c>
      <c r="D2" s="48" t="s">
        <v>32</v>
      </c>
    </row>
    <row r="3" spans="1:8" x14ac:dyDescent="0.25">
      <c r="A3" s="4" t="str">
        <f>B3&amp;"-"&amp;C3</f>
        <v>Conservador-PAPEL</v>
      </c>
      <c r="B3" s="52" t="s">
        <v>19</v>
      </c>
      <c r="C3" s="52" t="s">
        <v>25</v>
      </c>
      <c r="D3" s="53">
        <v>0.3</v>
      </c>
    </row>
    <row r="4" spans="1:8" x14ac:dyDescent="0.25">
      <c r="A4" s="4" t="str">
        <f t="shared" ref="A4:A20" si="0">B4&amp;"-"&amp;C4</f>
        <v>Conservador-TIJOLO</v>
      </c>
      <c r="B4" s="52" t="s">
        <v>19</v>
      </c>
      <c r="C4" s="52" t="s">
        <v>26</v>
      </c>
      <c r="D4" s="53">
        <v>0.5</v>
      </c>
    </row>
    <row r="5" spans="1:8" x14ac:dyDescent="0.25">
      <c r="A5" s="4" t="str">
        <f t="shared" si="0"/>
        <v>Conservador-HÍBRIDOS</v>
      </c>
      <c r="B5" s="52" t="s">
        <v>19</v>
      </c>
      <c r="C5" s="52" t="s">
        <v>27</v>
      </c>
      <c r="D5" s="53">
        <v>0.1</v>
      </c>
      <c r="H5" t="s">
        <v>32</v>
      </c>
    </row>
    <row r="6" spans="1:8" x14ac:dyDescent="0.25">
      <c r="A6" s="4" t="str">
        <f t="shared" si="0"/>
        <v>Conservador-FOFs</v>
      </c>
      <c r="B6" s="52" t="s">
        <v>19</v>
      </c>
      <c r="C6" s="52" t="s">
        <v>28</v>
      </c>
      <c r="D6" s="53">
        <v>0.1</v>
      </c>
      <c r="G6" s="36" t="s">
        <v>34</v>
      </c>
      <c r="H6" s="46">
        <f>VLOOKUP(G6,$A:$D,4,FALSE)</f>
        <v>0.35</v>
      </c>
    </row>
    <row r="7" spans="1:8" x14ac:dyDescent="0.25">
      <c r="A7" s="4" t="str">
        <f t="shared" si="0"/>
        <v>Conservador-DESENVOLVIMENTO</v>
      </c>
      <c r="B7" s="52" t="s">
        <v>19</v>
      </c>
      <c r="C7" s="52" t="s">
        <v>29</v>
      </c>
      <c r="D7" s="53">
        <v>0</v>
      </c>
    </row>
    <row r="8" spans="1:8" x14ac:dyDescent="0.25">
      <c r="A8" s="50" t="str">
        <f t="shared" si="0"/>
        <v>Conservador-HOTELARIAS</v>
      </c>
      <c r="B8" s="51" t="s">
        <v>19</v>
      </c>
      <c r="C8" s="51" t="s">
        <v>30</v>
      </c>
      <c r="D8" s="54">
        <v>0</v>
      </c>
    </row>
    <row r="9" spans="1:8" x14ac:dyDescent="0.25">
      <c r="A9" s="4" t="str">
        <f t="shared" si="0"/>
        <v>Moderado-PAPEL</v>
      </c>
      <c r="B9" s="52" t="s">
        <v>17</v>
      </c>
      <c r="C9" s="52" t="s">
        <v>25</v>
      </c>
      <c r="D9" s="55">
        <v>0.32</v>
      </c>
    </row>
    <row r="10" spans="1:8" x14ac:dyDescent="0.25">
      <c r="A10" s="4" t="str">
        <f>B10&amp;"-"&amp;C10</f>
        <v>Moderado-TIJOLO</v>
      </c>
      <c r="B10" s="52" t="s">
        <v>17</v>
      </c>
      <c r="C10" s="52" t="s">
        <v>26</v>
      </c>
      <c r="D10" s="56">
        <v>0.35</v>
      </c>
    </row>
    <row r="11" spans="1:8" x14ac:dyDescent="0.25">
      <c r="A11" s="4" t="str">
        <f t="shared" si="0"/>
        <v>Moderado-HÍBRIDOS</v>
      </c>
      <c r="B11" s="52" t="s">
        <v>17</v>
      </c>
      <c r="C11" s="52" t="s">
        <v>27</v>
      </c>
      <c r="D11" s="56">
        <v>0.08</v>
      </c>
    </row>
    <row r="12" spans="1:8" x14ac:dyDescent="0.25">
      <c r="A12" s="4" t="str">
        <f t="shared" si="0"/>
        <v>Moderado-FOFs</v>
      </c>
      <c r="B12" s="52" t="s">
        <v>17</v>
      </c>
      <c r="C12" s="52" t="s">
        <v>28</v>
      </c>
      <c r="D12" s="56">
        <v>0.05</v>
      </c>
    </row>
    <row r="13" spans="1:8" x14ac:dyDescent="0.25">
      <c r="A13" s="4" t="str">
        <f t="shared" si="0"/>
        <v>Moderado-DESENVOLVIMENTO</v>
      </c>
      <c r="B13" s="52" t="s">
        <v>17</v>
      </c>
      <c r="C13" s="52" t="s">
        <v>29</v>
      </c>
      <c r="D13" s="56">
        <v>0.1</v>
      </c>
    </row>
    <row r="14" spans="1:8" x14ac:dyDescent="0.25">
      <c r="A14" s="50" t="str">
        <f t="shared" si="0"/>
        <v>Moderado-HOTELARIAS</v>
      </c>
      <c r="B14" s="51" t="s">
        <v>17</v>
      </c>
      <c r="C14" s="51" t="s">
        <v>30</v>
      </c>
      <c r="D14" s="57">
        <v>0.1</v>
      </c>
    </row>
    <row r="15" spans="1:8" x14ac:dyDescent="0.25">
      <c r="A15" t="str">
        <f t="shared" si="0"/>
        <v>Agressivo-PAPEL</v>
      </c>
      <c r="B15" s="38" t="s">
        <v>18</v>
      </c>
      <c r="C15" s="38" t="s">
        <v>25</v>
      </c>
      <c r="D15" s="58">
        <v>0.5</v>
      </c>
    </row>
    <row r="16" spans="1:8" x14ac:dyDescent="0.25">
      <c r="A16" t="str">
        <f t="shared" si="0"/>
        <v>Agressivo-TIJOLO</v>
      </c>
      <c r="B16" s="38" t="s">
        <v>18</v>
      </c>
      <c r="C16" s="38" t="s">
        <v>26</v>
      </c>
      <c r="D16" s="47">
        <v>0.1</v>
      </c>
    </row>
    <row r="17" spans="1:4" x14ac:dyDescent="0.25">
      <c r="A17" t="str">
        <f t="shared" si="0"/>
        <v>Agressivo-HÍBRIDOS</v>
      </c>
      <c r="B17" s="38" t="s">
        <v>18</v>
      </c>
      <c r="C17" s="38" t="s">
        <v>27</v>
      </c>
      <c r="D17" s="47">
        <v>0.05</v>
      </c>
    </row>
    <row r="18" spans="1:4" x14ac:dyDescent="0.25">
      <c r="A18" t="str">
        <f t="shared" si="0"/>
        <v>Agressivo-FOFs</v>
      </c>
      <c r="B18" s="38" t="s">
        <v>18</v>
      </c>
      <c r="C18" s="38" t="s">
        <v>28</v>
      </c>
      <c r="D18" s="47">
        <v>0.05</v>
      </c>
    </row>
    <row r="19" spans="1:4" x14ac:dyDescent="0.25">
      <c r="A19" t="str">
        <f t="shared" si="0"/>
        <v>Agressivo-DESENVOLVIMENTO</v>
      </c>
      <c r="B19" s="38" t="s">
        <v>18</v>
      </c>
      <c r="C19" s="38" t="s">
        <v>29</v>
      </c>
      <c r="D19" s="47">
        <v>0.2</v>
      </c>
    </row>
    <row r="20" spans="1:4" x14ac:dyDescent="0.25">
      <c r="A20" t="str">
        <f t="shared" si="0"/>
        <v>Agressivo-HOTELARIAS</v>
      </c>
      <c r="B20" s="38" t="s">
        <v>18</v>
      </c>
      <c r="C20" s="38" t="s">
        <v>30</v>
      </c>
      <c r="D20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patromonio</vt:lpstr>
      <vt:lpstr>qnt_anos</vt:lpstr>
      <vt:lpstr>rendimento_carteira</vt:lpstr>
      <vt:lpstr>salario</vt:lpstr>
      <vt:lpstr>suj_invest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da silva</dc:creator>
  <cp:lastModifiedBy>fabiana da silva</cp:lastModifiedBy>
  <dcterms:created xsi:type="dcterms:W3CDTF">2026-01-10T20:14:39Z</dcterms:created>
  <dcterms:modified xsi:type="dcterms:W3CDTF">2026-01-12T19:33:31Z</dcterms:modified>
</cp:coreProperties>
</file>